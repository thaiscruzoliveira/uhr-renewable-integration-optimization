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Págin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<sst xmlns="http://schemas.openxmlformats.org/spreadsheetml/2006/main" count="26" uniqueCount="22">
  <si>
    <t>Elemento</t>
  </si>
  <si>
    <t>Nome</t>
  </si>
  <si>
    <t>Q tur max (m³/s)</t>
  </si>
  <si>
    <t>Produtibilidade (MW/(m³/s))</t>
  </si>
  <si>
    <t>Vmin (hm³)</t>
  </si>
  <si>
    <t>Vmax (hm³)</t>
  </si>
  <si>
    <t>Pmax geração (MW)</t>
  </si>
  <si>
    <t>Pmax bombeamento (MW)</t>
  </si>
  <si>
    <t>Eficiência bombeamento</t>
  </si>
  <si>
    <t>Eficiência turbinamento</t>
  </si>
  <si>
    <t>Emax (MWh)</t>
  </si>
  <si>
    <t>Einicial (MWh)</t>
  </si>
  <si>
    <t>Efinal (MWh)</t>
  </si>
  <si>
    <t>Custo (R$/MWh)</t>
  </si>
  <si>
    <t>UHE</t>
  </si>
  <si>
    <t>TRES MARIAS</t>
  </si>
  <si>
    <t>SOBRADINHO</t>
  </si>
  <si>
    <t>ITAPARICA</t>
  </si>
  <si>
    <t>PAULO AFONSO</t>
  </si>
  <si>
    <t>XINGO</t>
  </si>
  <si>
    <t>UHR</t>
  </si>
  <si>
    <t>Reversível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</si>
</sst>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color rgb="FF000000"/>
      <name val="Arial"/>
      <charset val="134"/>
      <scheme val="minor"/>
    </font>
    <font>
      <b/>
      <sz val="11"/>
      <color theme="1"/>
      <name val="Carlito"/>
      <charset val="134"/>
    </font>
    <font>
      <sz val="10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2" fillId="0" borderId="0" xfId="0" applyFont="1" applyAlignment="1"/>
    <xf numFmtId="0" fontId="2" fillId="0" borderId="0" xfId="0" applyFont="1"/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N7"/>
  <sheetViews>
    <sheetView tabSelected="1" workbookViewId="0">
      <selection activeCell="L5" sqref="L5"/>
    </sheetView>
  </sheetViews>
  <sheetFormatPr defaultColWidth="12.6296296296296" defaultRowHeight="15.75" customHeight="1" outlineLevelRow="6"/>
  <cols>
    <col min="2" max="2" width="14" customWidth="1"/>
  </cols>
  <sheetData>
    <row r="1" customHeight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Height="1" spans="1:6">
      <c r="A2" s="2" t="s">
        <v>14</v>
      </c>
      <c r="B2" s="2" t="s">
        <v>15</v>
      </c>
      <c r="C2" s="3">
        <f>151*6</f>
        <v>906</v>
      </c>
      <c r="D2" s="2">
        <v>0.436</v>
      </c>
      <c r="E2" s="2">
        <v>4250</v>
      </c>
      <c r="F2" s="2">
        <v>19528</v>
      </c>
    </row>
    <row r="3" customHeight="1" spans="1:6">
      <c r="A3" s="2" t="s">
        <v>14</v>
      </c>
      <c r="B3" s="2" t="s">
        <v>16</v>
      </c>
      <c r="C3" s="3">
        <f>6*725</f>
        <v>4350</v>
      </c>
      <c r="D3" s="3">
        <f>0.2449</f>
        <v>0.2449</v>
      </c>
      <c r="E3" s="2">
        <v>5447</v>
      </c>
      <c r="F3" s="2">
        <v>34116</v>
      </c>
    </row>
    <row r="4" customHeight="1" spans="1:6">
      <c r="A4" s="2" t="s">
        <v>14</v>
      </c>
      <c r="B4" s="2" t="s">
        <v>17</v>
      </c>
      <c r="C4" s="3">
        <f>6*555</f>
        <v>3330</v>
      </c>
      <c r="D4" s="2">
        <v>0.4425</v>
      </c>
      <c r="E4" s="2">
        <v>7234</v>
      </c>
      <c r="F4" s="2">
        <v>10782</v>
      </c>
    </row>
    <row r="5" customHeight="1" spans="1:6">
      <c r="A5" s="2" t="s">
        <v>14</v>
      </c>
      <c r="B5" s="2" t="s">
        <v>18</v>
      </c>
      <c r="C5" s="3">
        <f>6*410.4+3*60+2*70+1*75+3*76+4*198.6</f>
        <v>3879.8</v>
      </c>
      <c r="D5" s="2">
        <v>1.0229</v>
      </c>
      <c r="E5" s="2">
        <v>121</v>
      </c>
      <c r="F5" s="2">
        <v>121</v>
      </c>
    </row>
    <row r="6" customHeight="1" spans="1:6">
      <c r="A6" s="2" t="s">
        <v>14</v>
      </c>
      <c r="B6" s="2" t="s">
        <v>19</v>
      </c>
      <c r="C6" s="3">
        <f>6*527</f>
        <v>3162</v>
      </c>
      <c r="D6" s="2">
        <v>1.0781</v>
      </c>
      <c r="E6" s="2">
        <v>3800</v>
      </c>
      <c r="F6" s="2">
        <v>3800</v>
      </c>
    </row>
    <row r="7" customHeight="1" spans="1:14">
      <c r="A7" s="2" t="s">
        <v>20</v>
      </c>
      <c r="B7" s="2" t="s">
        <v>21</v>
      </c>
      <c r="G7" s="2">
        <v>800</v>
      </c>
      <c r="H7" s="2">
        <v>800</v>
      </c>
      <c r="I7" s="2">
        <v>0.9</v>
      </c>
      <c r="J7" s="2">
        <v>0.9</v>
      </c>
      <c r="K7" s="2">
        <v>4000</v>
      </c>
      <c r="L7" s="2">
        <v>2000</v>
      </c>
      <c r="M7" s="2">
        <v>2000</v>
      </c>
      <c r="N7" s="2">
        <v>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Página1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thais</cp:lastModifiedBy>
  <dcterms:created xsi:type="dcterms:W3CDTF">2026-09-19T01:39:00Z</dcterms:created>
  <dcterms:modified xsi:type="dcterms:W3CDTF">2026-09-19T02:00:36Z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198C668EB1F540F098268F1B2142F734_12</vt:lpwstr>
  </property>
  <property fmtid="{D5CDD505-2E9C-101B-9397-08002B2CF9AE}" pid="3" name="KSOProductBuildVer">
    <vt:lpwstr>1046-12.2.0.23206</vt:lpwstr>
  </property>
</Properties>
</file>